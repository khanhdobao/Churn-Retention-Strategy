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\Desktop\Study_Python\telcocustomerchurn\"/>
    </mc:Choice>
  </mc:AlternateContent>
  <xr:revisionPtr revIDLastSave="0" documentId="13_ncr:1_{DA89C30B-FC97-4E4A-8CB0-7F462FF939F6}" xr6:coauthVersionLast="47" xr6:coauthVersionMax="47" xr10:uidLastSave="{00000000-0000-0000-0000-000000000000}"/>
  <bookViews>
    <workbookView xWindow="-98" yWindow="-98" windowWidth="20715" windowHeight="13276" activeTab="1" xr2:uid="{3C37D1D9-B095-41F3-BB65-261F21D299C0}"/>
  </bookViews>
  <sheets>
    <sheet name="Sheet1" sheetId="1" r:id="rId1"/>
    <sheet name="Assumption" sheetId="2" r:id="rId2"/>
  </sheets>
  <definedNames>
    <definedName name="_xlnm._FilterDatabase" localSheetId="0" hidden="1">Sheet1!$A$1:$H$5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J3" i="1" s="1"/>
  <c r="H3" i="1"/>
  <c r="I3" i="1" s="1"/>
  <c r="G4" i="1"/>
  <c r="J4" i="1" s="1"/>
  <c r="H4" i="1"/>
  <c r="I4" i="1" s="1"/>
  <c r="H2" i="1"/>
  <c r="I2" i="1" s="1"/>
  <c r="G2" i="1"/>
  <c r="J2" i="1" s="1"/>
  <c r="K4" i="1" l="1"/>
  <c r="K3" i="1"/>
  <c r="K2" i="1"/>
</calcChain>
</file>

<file path=xl/sharedStrings.xml><?xml version="1.0" encoding="utf-8"?>
<sst xmlns="http://schemas.openxmlformats.org/spreadsheetml/2006/main" count="51" uniqueCount="44">
  <si>
    <t>priority_actions</t>
  </si>
  <si>
    <t>number_customer_</t>
  </si>
  <si>
    <t>avg_tenure_</t>
  </si>
  <si>
    <t>avg_churn_score_</t>
  </si>
  <si>
    <t>avg_monthly_charge_</t>
  </si>
  <si>
    <t>value_at_risk_sum_</t>
  </si>
  <si>
    <t>Action Segment</t>
  </si>
  <si>
    <t>Target Group</t>
  </si>
  <si>
    <t>Channel</t>
  </si>
  <si>
    <t>Cost / Cust ($)</t>
  </si>
  <si>
    <t>Expected Save Rate</t>
  </si>
  <si>
    <t>Value Basis</t>
  </si>
  <si>
    <t>Expected Value Saved</t>
  </si>
  <si>
    <t>Save Now (Critical Retention)</t>
  </si>
  <si>
    <t>High Value + High Risk + M2M</t>
  </si>
  <si>
    <t>Call center</t>
  </si>
  <si>
    <t>CLTV</t>
  </si>
  <si>
    <t>High</t>
  </si>
  <si>
    <t>Prevent Churn (Proactive)</t>
  </si>
  <si>
    <t>High Value + Low Risk + M2M</t>
  </si>
  <si>
    <t>Outbound / SMS</t>
  </si>
  <si>
    <t>Medium-High</t>
  </si>
  <si>
    <t>Protect &amp; Upsell</t>
  </si>
  <si>
    <t>High Value + Contracted</t>
  </si>
  <si>
    <t>Digital / Sales</t>
  </si>
  <si>
    <t>Incremental revenue</t>
  </si>
  <si>
    <t>Medium</t>
  </si>
  <si>
    <t>Monitor / Low Priority</t>
  </si>
  <si>
    <t>Others</t>
  </si>
  <si>
    <t>None</t>
  </si>
  <si>
    <t>Low value</t>
  </si>
  <si>
    <t>Low</t>
  </si>
  <si>
    <t>expected_value_saved = value_at_risk * save_rate</t>
  </si>
  <si>
    <t>value_at_risk = churn_probability * customer_value</t>
  </si>
  <si>
    <t>ROI = (expected_value_saved - total_cost) / total_cost</t>
  </si>
  <si>
    <t>Avg cost per cus</t>
  </si>
  <si>
    <t>Expected Save Value</t>
  </si>
  <si>
    <t>Total Cost</t>
  </si>
  <si>
    <t>ROI</t>
  </si>
  <si>
    <t>Fomular:</t>
  </si>
  <si>
    <t>P1 - Save Now</t>
  </si>
  <si>
    <t>P2 - Prevent Churn</t>
  </si>
  <si>
    <t>P3 - Protect &amp; Upsel</t>
  </si>
  <si>
    <t>P4 -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</si>
</sst>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#,##0_-;\-#,##0_-;_-&quot;-&quot;??_-;_-@_-"/>
    <numFmt numFmtId="165" formatCode="_-#,##0.0_-;\-#,##0.0_-;_-&quot;-&quot;??_-;_-@_-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9" fontId="3" fillId="0" borderId="0" xfId="0" applyNumberFormat="1" applyFont="1"/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#,##0_-;\-#,##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#,##0_-;\-#,##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#,##0_-;\-#,##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#,##0_-;\-#,##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#,##0.0_-;\-#,##0.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#,##0.0_-;\-#,##0.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#,##0.0_-;\-#,##0.0_-;_-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43D226-E10B-4106-B1B6-13215CB310E7}" name="Table2" displayName="Table2" ref="A1:K5" totalsRowShown="0" headerRowDxfId="3" dataDxfId="2">
  <autoFilter ref="A1:K5" xr:uid="{5843D226-E10B-4106-B1B6-13215CB310E7}"/>
  <tableColumns count="11">
    <tableColumn id="1" xr3:uid="{8FE3AF5E-5E18-4F74-9CC8-233DD38B8464}" name="priority_actions" dataDxfId="13"/>
    <tableColumn id="2" xr3:uid="{9767CD20-FDB0-4F6D-976E-C098828E34E8}" name="number_customer_" dataDxfId="12"/>
    <tableColumn id="3" xr3:uid="{8E2DFDDE-24CC-45D2-BA3C-422021F38BAA}" name="avg_tenure_" dataDxfId="11"/>
    <tableColumn id="4" xr3:uid="{C130E5BF-73A6-4BDE-B931-5E3C339F14F9}" name="avg_churn_score_" dataDxfId="10"/>
    <tableColumn id="5" xr3:uid="{E7C95EFF-012C-4AA5-9CBA-20222B85C5BA}" name="avg_monthly_charge_" dataDxfId="9"/>
    <tableColumn id="6" xr3:uid="{73C41198-2CBA-43FE-890D-8472DE846CB6}" name="value_at_risk_sum_" dataDxfId="8"/>
    <tableColumn id="7" xr3:uid="{DB537B82-D459-4C2F-8642-3AE26DBFD5C1}" name="Avg cost per cus" dataDxfId="7"/>
    <tableColumn id="8" xr3:uid="{A95778AE-025A-437D-8920-92CEA03E8CC7}" name="Expected Save Rate" dataDxfId="6"/>
    <tableColumn id="9" xr3:uid="{85F9C29B-91CD-4BB9-A88D-E6347193BD8A}" name="Expected Save Value" dataDxfId="5"/>
    <tableColumn id="10" xr3:uid="{D407D8D3-58A6-464D-A0EC-15F497F05DCC}" name="Total Cost" dataDxfId="4"/>
    <tableColumn id="11" xr3:uid="{02C81CC6-351C-4DFF-8F8D-8D4E9561A501}" name="ROI" dataDxfId="1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D3C76-D41C-438F-AFA8-FC4A28C96E7C}" name="Table1" displayName="Table1" ref="A1:H5" totalsRowShown="0" headerRowDxfId="15" dataDxfId="14">
  <autoFilter ref="A1:H5" xr:uid="{92CD3C76-D41C-438F-AFA8-FC4A28C96E7C}"/>
  <tableColumns count="8">
    <tableColumn id="1" xr3:uid="{29BE019C-B992-48C9-ADA0-96D7241CC164}" name="priority_actions" dataDxfId="0"/>
    <tableColumn id="2" xr3:uid="{D575A7DB-1EE0-46F7-986D-82FC1BB356DE}" name="Action Segment" dataDxfId="22"/>
    <tableColumn id="3" xr3:uid="{258D0C61-0931-459A-9034-7E8C8216D470}" name="Target Group" dataDxfId="21"/>
    <tableColumn id="4" xr3:uid="{C18D0D45-813A-49E1-BD34-3371F570FCAD}" name="Channel" dataDxfId="20"/>
    <tableColumn id="5" xr3:uid="{A6BEFFBC-B638-431E-963D-342896A63281}" name="Cost / Cust ($)" dataDxfId="19"/>
    <tableColumn id="6" xr3:uid="{5CCF1809-790D-4ED6-9151-1511E133AB9A}" name="Expected Save Rate" dataDxfId="18"/>
    <tableColumn id="7" xr3:uid="{368C93C6-2FA5-4B5E-BB28-B895F731FCD3}" name="Value Basis" dataDxfId="17"/>
    <tableColumn id="8" xr3:uid="{AF9E3F07-D329-412B-A9B8-AD2C2B89BE1D}" name="Expected Value Saved" dataDxfId="16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F397-3371-40EA-9807-73BC5D37116F}">
  <dimension ref="A1:K5"/>
  <sheetViews>
    <sheetView workbookViewId="0">
      <selection activeCell="C13" sqref="C13"/>
    </sheetView>
  </sheetViews>
  <sheetFormatPr defaultRowHeight="14.25" x14ac:dyDescent="0.45"/>
  <cols>
    <col min="1" max="11" width="16.3320312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35</v>
      </c>
      <c r="H1" s="9" t="s">
        <v>10</v>
      </c>
      <c r="I1" s="8" t="s">
        <v>36</v>
      </c>
      <c r="J1" s="8" t="s">
        <v>37</v>
      </c>
      <c r="K1" s="8" t="s">
        <v>38</v>
      </c>
    </row>
    <row r="2" spans="1:11" x14ac:dyDescent="0.45">
      <c r="A2" s="4" t="s">
        <v>40</v>
      </c>
      <c r="B2" s="4">
        <v>341</v>
      </c>
      <c r="C2" s="10">
        <v>25.06</v>
      </c>
      <c r="D2" s="10">
        <v>70.39</v>
      </c>
      <c r="E2" s="10">
        <v>64.510000000000005</v>
      </c>
      <c r="F2" s="11">
        <v>1161809.51</v>
      </c>
      <c r="G2" s="4">
        <f>_xlfn.XLOOKUP($A2,Assumption!$A$2:$A$5,Assumption!E$2:E$5)</f>
        <v>15</v>
      </c>
      <c r="H2" s="12">
        <f>_xlfn.XLOOKUP($A2,Assumption!$A$2:$A$5,Assumption!F$2:F$5)</f>
        <v>0.3</v>
      </c>
      <c r="I2" s="11">
        <f>H2*F2</f>
        <v>348542.853</v>
      </c>
      <c r="J2" s="11">
        <f>G2*B2</f>
        <v>5115</v>
      </c>
      <c r="K2" s="11">
        <f>(I2-J2)/J2</f>
        <v>67.141320234604109</v>
      </c>
    </row>
    <row r="3" spans="1:11" x14ac:dyDescent="0.45">
      <c r="A3" s="4" t="s">
        <v>41</v>
      </c>
      <c r="B3" s="4">
        <v>700</v>
      </c>
      <c r="C3" s="10">
        <v>22.52</v>
      </c>
      <c r="D3" s="10">
        <v>40.549999999999997</v>
      </c>
      <c r="E3" s="10">
        <v>63.52</v>
      </c>
      <c r="F3" s="11">
        <v>1384185.97</v>
      </c>
      <c r="G3" s="4">
        <f>_xlfn.XLOOKUP($A3,Assumption!$A$2:$A$5,Assumption!E$2:E$5)</f>
        <v>10</v>
      </c>
      <c r="H3" s="12">
        <f>_xlfn.XLOOKUP($A3,Assumption!$A$2:$A$5,Assumption!F$2:F$5)</f>
        <v>0.2</v>
      </c>
      <c r="I3" s="11">
        <f>H3*F3</f>
        <v>276837.19400000002</v>
      </c>
      <c r="J3" s="11">
        <f>G3*B3</f>
        <v>7000</v>
      </c>
      <c r="K3" s="11">
        <f>(I3-J3)/J3</f>
        <v>38.548170571428571</v>
      </c>
    </row>
    <row r="4" spans="1:11" x14ac:dyDescent="0.45">
      <c r="A4" s="4" t="s">
        <v>42</v>
      </c>
      <c r="B4" s="4">
        <v>1904</v>
      </c>
      <c r="C4" s="10">
        <v>53.48</v>
      </c>
      <c r="D4" s="10">
        <v>55.33</v>
      </c>
      <c r="E4" s="10">
        <v>77.33</v>
      </c>
      <c r="F4" s="11">
        <v>4841649.58</v>
      </c>
      <c r="G4" s="4">
        <f>_xlfn.XLOOKUP($A4,Assumption!$A$2:$A$5,Assumption!E$2:E$5)</f>
        <v>6</v>
      </c>
      <c r="H4" s="12">
        <f>_xlfn.XLOOKUP($A4,Assumption!$A$2:$A$5,Assumption!F$2:F$5)</f>
        <v>0.12</v>
      </c>
      <c r="I4" s="11">
        <f>H4*F4</f>
        <v>580997.94959999993</v>
      </c>
      <c r="J4" s="11">
        <f>G4*B4</f>
        <v>11424</v>
      </c>
      <c r="K4" s="11">
        <f>(I4-J4)/J4</f>
        <v>49.857663655462176</v>
      </c>
    </row>
    <row r="5" spans="1:11" x14ac:dyDescent="0.45">
      <c r="A5" s="4" t="s">
        <v>43</v>
      </c>
      <c r="B5" s="4">
        <v>2229</v>
      </c>
      <c r="C5" s="10">
        <v>25.45</v>
      </c>
      <c r="D5" s="10">
        <v>55.42</v>
      </c>
      <c r="E5" s="10">
        <v>48.53</v>
      </c>
      <c r="F5" s="11">
        <v>4258145.87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B8A0-8603-4C17-9B10-E88297F4F8DF}">
  <dimension ref="A1:H10"/>
  <sheetViews>
    <sheetView tabSelected="1" workbookViewId="0">
      <selection activeCell="G4" sqref="G4"/>
    </sheetView>
  </sheetViews>
  <sheetFormatPr defaultRowHeight="14.25" x14ac:dyDescent="0.45"/>
  <cols>
    <col min="1" max="1" width="16.19921875" customWidth="1"/>
    <col min="2" max="3" width="24.6640625" bestFit="1" customWidth="1"/>
    <col min="4" max="4" width="13.796875" bestFit="1" customWidth="1"/>
    <col min="5" max="5" width="14.06640625" customWidth="1"/>
    <col min="6" max="6" width="18.3984375" customWidth="1"/>
    <col min="7" max="7" width="17.06640625" bestFit="1" customWidth="1"/>
    <col min="8" max="8" width="20.3984375" customWidth="1"/>
  </cols>
  <sheetData>
    <row r="1" spans="1:8" x14ac:dyDescent="0.45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</row>
    <row r="2" spans="1:8" x14ac:dyDescent="0.45">
      <c r="A2" s="4" t="s">
        <v>40</v>
      </c>
      <c r="B2" s="5" t="s">
        <v>13</v>
      </c>
      <c r="C2" s="6" t="s">
        <v>14</v>
      </c>
      <c r="D2" s="6" t="s">
        <v>15</v>
      </c>
      <c r="E2" s="6">
        <v>15</v>
      </c>
      <c r="F2" s="7">
        <v>0.3</v>
      </c>
      <c r="G2" s="6" t="s">
        <v>16</v>
      </c>
      <c r="H2" s="6" t="s">
        <v>17</v>
      </c>
    </row>
    <row r="3" spans="1:8" x14ac:dyDescent="0.45">
      <c r="A3" s="4" t="s">
        <v>41</v>
      </c>
      <c r="B3" s="5" t="s">
        <v>18</v>
      </c>
      <c r="C3" s="6" t="s">
        <v>19</v>
      </c>
      <c r="D3" s="6" t="s">
        <v>20</v>
      </c>
      <c r="E3" s="6">
        <v>10</v>
      </c>
      <c r="F3" s="7">
        <v>0.2</v>
      </c>
      <c r="G3" s="6" t="s">
        <v>16</v>
      </c>
      <c r="H3" s="6" t="s">
        <v>21</v>
      </c>
    </row>
    <row r="4" spans="1:8" x14ac:dyDescent="0.45">
      <c r="A4" s="4" t="s">
        <v>42</v>
      </c>
      <c r="B4" s="5" t="s">
        <v>22</v>
      </c>
      <c r="C4" s="6" t="s">
        <v>23</v>
      </c>
      <c r="D4" s="6" t="s">
        <v>24</v>
      </c>
      <c r="E4" s="6">
        <v>6</v>
      </c>
      <c r="F4" s="7">
        <v>0.12</v>
      </c>
      <c r="G4" s="6" t="s">
        <v>25</v>
      </c>
      <c r="H4" s="6" t="s">
        <v>26</v>
      </c>
    </row>
    <row r="5" spans="1:8" x14ac:dyDescent="0.45">
      <c r="A5" s="4" t="s">
        <v>43</v>
      </c>
      <c r="B5" s="5" t="s">
        <v>27</v>
      </c>
      <c r="C5" s="6" t="s">
        <v>28</v>
      </c>
      <c r="D5" s="6" t="s">
        <v>29</v>
      </c>
      <c r="E5" s="6">
        <v>2</v>
      </c>
      <c r="F5" s="7">
        <v>0.05</v>
      </c>
      <c r="G5" s="6" t="s">
        <v>30</v>
      </c>
      <c r="H5" s="6" t="s">
        <v>31</v>
      </c>
    </row>
    <row r="7" spans="1:8" x14ac:dyDescent="0.45">
      <c r="A7" s="1" t="s">
        <v>39</v>
      </c>
    </row>
    <row r="8" spans="1:8" x14ac:dyDescent="0.45">
      <c r="A8" t="s">
        <v>33</v>
      </c>
    </row>
    <row r="9" spans="1:8" x14ac:dyDescent="0.45">
      <c r="A9" t="s">
        <v>32</v>
      </c>
    </row>
    <row r="10" spans="1:8" x14ac:dyDescent="0.45">
      <c r="A10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</dc:creator>
  <cp:lastModifiedBy>K B</cp:lastModifiedBy>
  <dcterms:created xsi:type="dcterms:W3CDTF">2026-03-23T02:31:08Z</dcterms:created>
  <dcterms:modified xsi:type="dcterms:W3CDTF">2026-03-23T10:41:47Z</dcterms:modified>
</cp:coreProperties>
</file>